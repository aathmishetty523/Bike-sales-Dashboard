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A0980E8-27D3-49AF-8F86-2B381F8D80AF}" xr6:coauthVersionLast="47" xr6:coauthVersionMax="47" xr10:uidLastSave="{00000000-0000-0000-0000-000000000000}"/>
  <bookViews>
    <workbookView xWindow="-108" yWindow="-108" windowWidth="23256" windowHeight="12456" xr2:uid="{00000000-000D-0000-FFFF-FFFF00000000}"/>
  </bookViews>
  <sheets>
    <sheet name="bike_buyers" sheetId="1" r:id="rId1"/>
    <sheet name="Dashboard" sheetId="2" r:id="rId2"/>
    <sheet name="Pivot Table"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<sst xmlns="http://schemas.openxmlformats.org/spreadsheetml/2006/main" count="8053" uniqueCount="47">
  <si>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</si>
  <si>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</si>
  <si>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</si>
  <si>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</si>
  <si>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</si>
  <si>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</si>
  <si>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</si>
  <si>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</si>
  <si>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</si>
  <si>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</si>
  <si>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</si>
  <si>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</si>
  <si>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</si>
  <si>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</si>
  <si>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</si>
  <si>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</si>
  <si>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</si>
  <si>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</si>
  <si>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</si>
  <si>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</si>
  <si>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</si>
  <si>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</si>
  <si>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</si>
  <si>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</si>
  <si>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</si>
  <si>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</si>
  <si>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</si>
  <si>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</si>
  <si>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</si>
  <si>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</si>
  <si>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</si>
  <si>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</si>
  <si>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</si>
  <si>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</si>
  <si>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</si>
  <si>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</si>
  <si>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</si>
  <si>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</si>
  <si>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</si>
  <si>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</si>
  <si>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</si>
  <si>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</si>
  <si>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More than 10 milles</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</si>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</sst>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
    <numFmt numFmtId="171"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1"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84A4-41BD-BFBE-5844035340BB}"/>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1-84A4-41BD-BFBE-5844035340BB}"/>
            </c:ext>
          </c:extLst>
        </c:ser>
        <c:dLbls>
          <c:showLegendKey val="0"/>
          <c:showVal val="0"/>
          <c:showCatName val="0"/>
          <c:showSerName val="0"/>
          <c:showPercent val="0"/>
          <c:showBubbleSize val="0"/>
        </c:dLbls>
        <c:marker val="1"/>
        <c:smooth val="0"/>
        <c:axId val="1336254800"/>
        <c:axId val="1178866128"/>
      </c:lineChart>
      <c:catAx>
        <c:axId val="1336254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66128"/>
        <c:crosses val="autoZero"/>
        <c:auto val="1"/>
        <c:lblAlgn val="ctr"/>
        <c:lblOffset val="100"/>
        <c:noMultiLvlLbl val="0"/>
      </c:catAx>
      <c:valAx>
        <c:axId val="11788661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529-4CDE-A3EF-0B5021CE0E6D}"/>
            </c:ext>
          </c:extLst>
        </c:ser>
        <c:ser>
          <c:idx val="1"/>
          <c:order val="1"/>
          <c:tx>
            <c:strRef>
              <c:f>'Pivot Table'!$C$26:$C$27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529-4CDE-A3EF-0B5021CE0E6D}"/>
            </c:ext>
          </c:extLst>
        </c:ser>
        <c:dLbls>
          <c:showLegendKey val="0"/>
          <c:showVal val="0"/>
          <c:showCatName val="0"/>
          <c:showSerName val="0"/>
          <c:showPercent val="0"/>
          <c:showBubbleSize val="0"/>
        </c:dLbls>
        <c:marker val="1"/>
        <c:smooth val="0"/>
        <c:axId val="968784304"/>
        <c:axId val="1178857488"/>
      </c:lineChart>
      <c:catAx>
        <c:axId val="9687843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857488"/>
        <c:crosses val="autoZero"/>
        <c:auto val="1"/>
        <c:lblAlgn val="ctr"/>
        <c:lblOffset val="100"/>
        <c:noMultiLvlLbl val="0"/>
      </c:catAx>
      <c:valAx>
        <c:axId val="1178857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878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8BA4-41A3-BF2C-34AE855FB18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8BA4-41A3-BF2C-34AE855FB186}"/>
            </c:ext>
          </c:extLst>
        </c:ser>
        <c:dLbls>
          <c:showLegendKey val="0"/>
          <c:showVal val="0"/>
          <c:showCatName val="0"/>
          <c:showSerName val="0"/>
          <c:showPercent val="0"/>
          <c:showBubbleSize val="0"/>
        </c:dLbls>
        <c:gapWidth val="219"/>
        <c:overlap val="-27"/>
        <c:axId val="768584496"/>
        <c:axId val="1178827728"/>
      </c:barChart>
      <c:catAx>
        <c:axId val="76858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7728"/>
        <c:crosses val="autoZero"/>
        <c:auto val="1"/>
        <c:lblAlgn val="ctr"/>
        <c:lblOffset val="100"/>
        <c:noMultiLvlLbl val="0"/>
      </c:catAx>
      <c:valAx>
        <c:axId val="117882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84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7000-4015-A8C2-7CF0BD96EF7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7000-4015-A8C2-7CF0BD96EF7F}"/>
            </c:ext>
          </c:extLst>
        </c:ser>
        <c:dLbls>
          <c:showLegendKey val="0"/>
          <c:showVal val="0"/>
          <c:showCatName val="0"/>
          <c:showSerName val="0"/>
          <c:showPercent val="0"/>
          <c:showBubbleSize val="0"/>
        </c:dLbls>
        <c:gapWidth val="219"/>
        <c:overlap val="-27"/>
        <c:axId val="768584496"/>
        <c:axId val="1178827728"/>
      </c:barChart>
      <c:catAx>
        <c:axId val="76858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7728"/>
        <c:crosses val="autoZero"/>
        <c:auto val="1"/>
        <c:lblAlgn val="ctr"/>
        <c:lblOffset val="100"/>
        <c:noMultiLvlLbl val="0"/>
      </c:catAx>
      <c:valAx>
        <c:axId val="117882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84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394-4DE7-8394-D576E44A52F7}"/>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394-4DE7-8394-D576E44A52F7}"/>
            </c:ext>
          </c:extLst>
        </c:ser>
        <c:dLbls>
          <c:showLegendKey val="0"/>
          <c:showVal val="0"/>
          <c:showCatName val="0"/>
          <c:showSerName val="0"/>
          <c:showPercent val="0"/>
          <c:showBubbleSize val="0"/>
        </c:dLbls>
        <c:smooth val="0"/>
        <c:axId val="968784304"/>
        <c:axId val="1178857488"/>
      </c:lineChart>
      <c:catAx>
        <c:axId val="96878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57488"/>
        <c:crosses val="autoZero"/>
        <c:auto val="1"/>
        <c:lblAlgn val="ctr"/>
        <c:lblOffset val="100"/>
        <c:noMultiLvlLbl val="0"/>
      </c:catAx>
      <c:valAx>
        <c:axId val="117885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8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089E-496B-82E8-98C18ACD66CF}"/>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1-089E-496B-82E8-98C18ACD66CF}"/>
            </c:ext>
          </c:extLst>
        </c:ser>
        <c:dLbls>
          <c:showLegendKey val="0"/>
          <c:showVal val="0"/>
          <c:showCatName val="0"/>
          <c:showSerName val="0"/>
          <c:showPercent val="0"/>
          <c:showBubbleSize val="0"/>
        </c:dLbls>
        <c:marker val="1"/>
        <c:smooth val="0"/>
        <c:axId val="1336254800"/>
        <c:axId val="1178866128"/>
      </c:lineChart>
      <c:catAx>
        <c:axId val="1336254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66128"/>
        <c:crosses val="autoZero"/>
        <c:auto val="1"/>
        <c:lblAlgn val="ctr"/>
        <c:lblOffset val="100"/>
        <c:noMultiLvlLbl val="0"/>
      </c:catAx>
      <c:valAx>
        <c:axId val="11788661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24759405074371"/>
          <c:y val="0.16101633129192183"/>
          <c:w val="0.68065791776027995"/>
          <c:h val="0.65853091280256637"/>
        </c:manualLayout>
      </c:layout>
      <c:lineChart>
        <c:grouping val="stacke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7">
                <c:v>0</c:v>
              </c:pt>
              <c:pt idx="48">
                <c:v>2</c:v>
              </c:pt>
              <c:pt idx="49">
                <c:v>0</c:v>
              </c:pt>
              <c:pt idx="50">
                <c:v>1</c:v>
              </c:pt>
              <c:pt idx="51">
                <c:v>1</c:v>
              </c:pt>
              <c:pt idx="52">
                <c:v>1</c:v>
              </c:pt>
            </c:numLit>
          </c:val>
          <c:smooth val="0"/>
          <c:extLst>
            <c:ext xmlns:c16="http://schemas.microsoft.com/office/drawing/2014/chart" uri="{C3380CC4-5D6E-409C-BE32-E72D297353CC}">
              <c16:uniqueId val="{00000000-A30F-414F-801B-95336A7F7F3F}"/>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3">
                <c:v>0</c:v>
              </c:pt>
              <c:pt idx="44">
                <c:v>0</c:v>
              </c:pt>
              <c:pt idx="45">
                <c:v>1</c:v>
              </c:pt>
              <c:pt idx="46">
                <c:v>0</c:v>
              </c:pt>
              <c:pt idx="47">
                <c:v>1</c:v>
              </c:pt>
              <c:pt idx="48">
                <c:v>2</c:v>
              </c:pt>
              <c:pt idx="49">
                <c:v>1</c:v>
              </c:pt>
              <c:pt idx="50">
                <c:v>1</c:v>
              </c:pt>
              <c:pt idx="51">
                <c:v>0</c:v>
              </c:pt>
              <c:pt idx="52">
                <c:v>0</c:v>
              </c:pt>
            </c:numLit>
          </c:val>
          <c:smooth val="0"/>
          <c:extLst>
            <c:ext xmlns:c16="http://schemas.microsoft.com/office/drawing/2014/chart" uri="{C3380CC4-5D6E-409C-BE32-E72D297353CC}">
              <c16:uniqueId val="{00000001-A30F-414F-801B-95336A7F7F3F}"/>
            </c:ext>
          </c:extLst>
        </c:ser>
        <c:dLbls>
          <c:showLegendKey val="0"/>
          <c:showVal val="0"/>
          <c:showCatName val="0"/>
          <c:showSerName val="0"/>
          <c:showPercent val="0"/>
          <c:showBubbleSize val="0"/>
        </c:dLbls>
        <c:marker val="1"/>
        <c:smooth val="0"/>
        <c:axId val="1345192112"/>
        <c:axId val="1178846928"/>
      </c:lineChart>
      <c:catAx>
        <c:axId val="13451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46928"/>
        <c:crosses val="autoZero"/>
        <c:auto val="1"/>
        <c:lblAlgn val="ctr"/>
        <c:lblOffset val="100"/>
        <c:noMultiLvlLbl val="0"/>
      </c:catAx>
      <c:valAx>
        <c:axId val="117884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1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345440</xdr:colOff>
      <xdr:row>6</xdr:row>
      <xdr:rowOff>10160</xdr:rowOff>
    </xdr:from>
    <xdr:to>
      <xdr:col>16</xdr:col>
      <xdr:colOff>589280</xdr:colOff>
      <xdr:row>21</xdr:row>
      <xdr:rowOff>91440</xdr:rowOff>
    </xdr:to>
    <xdr:graphicFrame macro="">
      <xdr:nvGraphicFramePr>
        <xdr:cNvPr id="2" name="Chart 1">
          <a:extLst>
            <a:ext uri="{FF2B5EF4-FFF2-40B4-BE49-F238E27FC236}">
              <a16:creationId xmlns:a16="http://schemas.microsoft.com/office/drawing/2014/main" id="{D9A6F46B-61C0-4751-B699-2C03114EA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233680</xdr:colOff>
      <xdr:row>21</xdr:row>
      <xdr:rowOff>81280</xdr:rowOff>
    </xdr:from>
    <xdr:to>
      <xdr:col>16</xdr:col>
      <xdr:colOff>599440</xdr:colOff>
      <xdr:row>35</xdr:row>
      <xdr:rowOff>132080</xdr:rowOff>
    </xdr:to>
    <xdr:graphicFrame macro="">
      <xdr:nvGraphicFramePr>
        <xdr:cNvPr id="3" name="Chart 2">
          <a:extLst>
            <a:ext uri="{FF2B5EF4-FFF2-40B4-BE49-F238E27FC236}">
              <a16:creationId xmlns:a16="http://schemas.microsoft.com/office/drawing/2014/main" id="{E4923999-EBA8-4F1D-BB24-3F9455024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254000</xdr:colOff>
      <xdr:row>5</xdr:row>
      <xdr:rowOff>142240</xdr:rowOff>
    </xdr:from>
    <xdr:to>
      <xdr:col>10</xdr:col>
      <xdr:colOff>325120</xdr:colOff>
      <xdr:row>21</xdr:row>
      <xdr:rowOff>71120</xdr:rowOff>
    </xdr:to>
    <xdr:graphicFrame macro="">
      <xdr:nvGraphicFramePr>
        <xdr:cNvPr id="4" name="Chart 3">
          <a:extLst>
            <a:ext uri="{FF2B5EF4-FFF2-40B4-BE49-F238E27FC236}">
              <a16:creationId xmlns:a16="http://schemas.microsoft.com/office/drawing/2014/main" id="{AA5E662A-741B-41CC-9ACC-4EF161D61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180340</xdr:rowOff>
    </xdr:from>
    <xdr:to>
      <xdr:col>3</xdr:col>
      <xdr:colOff>284480</xdr:colOff>
      <xdr:row>11</xdr:row>
      <xdr:rowOff>40640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B0778A7-1503-2C79-EE7A-180908751BC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4740"/>
              <a:ext cx="2113280" cy="957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78741</xdr:rowOff>
    </xdr:from>
    <xdr:to>
      <xdr:col>3</xdr:col>
      <xdr:colOff>223520</xdr:colOff>
      <xdr:row>30</xdr:row>
      <xdr:rowOff>121921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728FF07-5F30-2A30-4739-949DB267D6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19221"/>
              <a:ext cx="205232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10161</xdr:rowOff>
    </xdr:from>
    <xdr:to>
      <xdr:col>3</xdr:col>
      <xdr:colOff>264160</xdr:colOff>
      <xdr:row>19</xdr:row>
      <xdr:rowOff>81281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34644B0-C955-196C-51A3-34BDB39A82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87601"/>
              <a:ext cx="2092960"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152406</xdr:colOff>
      <xdr:row>0</xdr:row>
      <xdr:rowOff>57150</xdr:rowOff>
    </xdr:from>
    <xdr:to>
      <xdr:col>11</xdr:col>
      <xdr:colOff>342906</xdr:colOff>
      <xdr:row>15</xdr:row>
      <xdr:rowOff>57150</xdr:rowOff>
    </xdr:to>
    <xdr:graphicFrame macro="">
      <xdr:nvGraphicFramePr>
        <xdr:cNvPr id="2" name="Chart 1">
          <a:extLst>
            <a:ext uri="{FF2B5EF4-FFF2-40B4-BE49-F238E27FC236}">
              <a16:creationId xmlns:a16="http://schemas.microsoft.com/office/drawing/2014/main" id="{DBC7ADF8-06C9-3B07-369D-509FDB409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201930</xdr:colOff>
      <xdr:row>19</xdr:row>
      <xdr:rowOff>95250</xdr:rowOff>
    </xdr:from>
    <xdr:to>
      <xdr:col>11</xdr:col>
      <xdr:colOff>506730</xdr:colOff>
      <xdr:row>34</xdr:row>
      <xdr:rowOff>95250</xdr:rowOff>
    </xdr:to>
    <xdr:graphicFrame macro="">
      <xdr:nvGraphicFramePr>
        <xdr:cNvPr id="3" name="Chart 2">
          <a:extLst>
            <a:ext uri="{FF2B5EF4-FFF2-40B4-BE49-F238E27FC236}">
              <a16:creationId xmlns:a16="http://schemas.microsoft.com/office/drawing/2014/main" id="{6E353382-917F-B494-D90F-3DEEC4255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251460</xdr:colOff>
      <xdr:row>37</xdr:row>
      <xdr:rowOff>133350</xdr:rowOff>
    </xdr:from>
    <xdr:to>
      <xdr:col>11</xdr:col>
      <xdr:colOff>556260</xdr:colOff>
      <xdr:row>52</xdr:row>
      <xdr:rowOff>133350</xdr:rowOff>
    </xdr:to>
    <xdr:graphicFrame macro="">
      <xdr:nvGraphicFramePr>
        <xdr:cNvPr id="4" name="Chart 3">
          <a:extLst>
            <a:ext uri="{FF2B5EF4-FFF2-40B4-BE49-F238E27FC236}">
              <a16:creationId xmlns:a16="http://schemas.microsoft.com/office/drawing/2014/main" id="{5BB20408-103A-5F1E-5ED4-82F443CD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xdr:colOff>
      <xdr:row>56</xdr:row>
      <xdr:rowOff>26670</xdr:rowOff>
    </xdr:from>
    <xdr:to>
      <xdr:col>12</xdr:col>
      <xdr:colOff>323850</xdr:colOff>
      <xdr:row>71</xdr:row>
      <xdr:rowOff>26670</xdr:rowOff>
    </xdr:to>
    <xdr:graphicFrame macro="">
      <xdr:nvGraphicFramePr>
        <xdr:cNvPr id="7" name="Chart 6">
          <a:extLst>
            <a:ext uri="{FF2B5EF4-FFF2-40B4-BE49-F238E27FC236}">
              <a16:creationId xmlns:a16="http://schemas.microsoft.com/office/drawing/2014/main" id="{2A5081D1-BA3E-FC7E-D560-B57DFC13A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mi shetty" refreshedDate="46286.846220833337" createdVersion="8" refreshedVersion="8" minRefreshableVersion="3" recordCount="1000" xr:uid="{9C3E0C72-5D9F-49D9-9DB9-5CECAF78D3B1}">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49659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0FB69-F7C5-4F4E-995D-D14EB4E89717}"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7:D1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34416-C5BC-46AE-AE0D-96AED4465126}"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81E310-76D3-4BB8-B1C5-6BCAEEC4214D}"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27ED33-351A-445D-955D-99DFB75EF00C}"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8AF809-4610-425A-B94E-BE6E949EA369}" sourceName="Marital Status">
  <pivotTables>
    <pivotTable tabId="3" name="PivotTable1"/>
    <pivotTable tabId="3" name="PivotTable2"/>
    <pivotTable tabId="3" name="PivotTable7"/>
    <pivotTable tabId="3" name="PivotTable9"/>
  </pivotTables>
  <data>
    <tabular pivotCacheId="20496591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1F9849F-2FA1-4201-9522-92D963282015}" sourceName="Education">
  <pivotTables>
    <pivotTable tabId="3" name="PivotTable1"/>
    <pivotTable tabId="3" name="PivotTable2"/>
    <pivotTable tabId="3" name="PivotTable7"/>
    <pivotTable tabId="3" name="PivotTable9"/>
  </pivotTables>
  <data>
    <tabular pivotCacheId="20496591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FE0EA6-1F08-432B-A66A-BF0FE8D91E9F}" sourceName="Region">
  <pivotTables>
    <pivotTable tabId="3" name="PivotTable1"/>
    <pivotTable tabId="3" name="PivotTable2"/>
    <pivotTable tabId="3" name="PivotTable7"/>
    <pivotTable tabId="3" name="PivotTable9"/>
  </pivotTables>
  <data>
    <tabular pivotCacheId="20496591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C03D3C-BDD3-4004-BC14-7F8AC6A6A667}" cache="Slicer_Marital_Status" caption="Marital Status" rowHeight="234950"/>
  <slicer name="Education" xr10:uid="{60662B03-4EF9-4FFC-8714-8B25383C0950}" cache="Slicer_Education" caption="Education" rowHeight="234950"/>
  <slicer name="Region" xr10:uid="{319D12E0-DCC3-4D0E-A45C-ABAB06EB907D}"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H1" workbookViewId="0">
      <selection activeCell="M2" sqref="M2"/>
    </sheetView>
  </sheetViews>
  <sheetFormatPr defaultColWidth="11.88671875" defaultRowHeight="14.4" x14ac:dyDescent="0.3"/>
  <cols>
    <col min="4" max="4" width="11.88671875" style="2"/>
    <col min="6" max="6" width="18.77734375" customWidth="1"/>
    <col min="10" max="10" width="14.886718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34</v>
      </c>
      <c r="D2" s="2">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32</v>
      </c>
      <c r="C3" t="s">
        <v>35</v>
      </c>
      <c r="D3" s="2">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32</v>
      </c>
      <c r="C4" t="s">
        <v>35</v>
      </c>
      <c r="D4" s="2">
        <v>80000</v>
      </c>
      <c r="E4">
        <v>5</v>
      </c>
      <c r="F4" t="s">
        <v>19</v>
      </c>
      <c r="G4" t="s">
        <v>21</v>
      </c>
      <c r="H4" t="s">
        <v>18</v>
      </c>
      <c r="I4">
        <v>2</v>
      </c>
      <c r="J4" t="s">
        <v>22</v>
      </c>
      <c r="K4" t="s">
        <v>17</v>
      </c>
      <c r="L4">
        <v>60</v>
      </c>
      <c r="M4" t="str">
        <f t="shared" si="0"/>
        <v>Old</v>
      </c>
      <c r="N4" t="s">
        <v>18</v>
      </c>
    </row>
    <row r="5" spans="1:14" x14ac:dyDescent="0.3">
      <c r="A5">
        <v>24381</v>
      </c>
      <c r="B5" t="s">
        <v>33</v>
      </c>
      <c r="C5" t="s">
        <v>35</v>
      </c>
      <c r="D5" s="2">
        <v>70000</v>
      </c>
      <c r="E5">
        <v>0</v>
      </c>
      <c r="F5" t="s">
        <v>13</v>
      </c>
      <c r="G5" t="s">
        <v>21</v>
      </c>
      <c r="H5" t="s">
        <v>15</v>
      </c>
      <c r="I5">
        <v>1</v>
      </c>
      <c r="J5" t="s">
        <v>23</v>
      </c>
      <c r="K5" t="s">
        <v>24</v>
      </c>
      <c r="L5">
        <v>41</v>
      </c>
      <c r="M5" t="str">
        <f t="shared" si="0"/>
        <v>Middle Age</v>
      </c>
      <c r="N5" t="s">
        <v>15</v>
      </c>
    </row>
    <row r="6" spans="1:14" x14ac:dyDescent="0.3">
      <c r="A6">
        <v>25597</v>
      </c>
      <c r="B6" t="s">
        <v>33</v>
      </c>
      <c r="C6" t="s">
        <v>35</v>
      </c>
      <c r="D6" s="2">
        <v>30000</v>
      </c>
      <c r="E6">
        <v>0</v>
      </c>
      <c r="F6" t="s">
        <v>13</v>
      </c>
      <c r="G6" t="s">
        <v>20</v>
      </c>
      <c r="H6" t="s">
        <v>18</v>
      </c>
      <c r="I6">
        <v>0</v>
      </c>
      <c r="J6" t="s">
        <v>16</v>
      </c>
      <c r="K6" t="s">
        <v>17</v>
      </c>
      <c r="L6">
        <v>36</v>
      </c>
      <c r="M6" t="str">
        <f t="shared" si="0"/>
        <v>Middle Age</v>
      </c>
      <c r="N6" t="s">
        <v>15</v>
      </c>
    </row>
    <row r="7" spans="1:14" x14ac:dyDescent="0.3">
      <c r="A7">
        <v>13507</v>
      </c>
      <c r="B7" t="s">
        <v>32</v>
      </c>
      <c r="C7" t="s">
        <v>34</v>
      </c>
      <c r="D7" s="2">
        <v>10000</v>
      </c>
      <c r="E7">
        <v>2</v>
      </c>
      <c r="F7" t="s">
        <v>19</v>
      </c>
      <c r="G7" t="s">
        <v>25</v>
      </c>
      <c r="H7" t="s">
        <v>15</v>
      </c>
      <c r="I7">
        <v>0</v>
      </c>
      <c r="J7" t="s">
        <v>26</v>
      </c>
      <c r="K7" t="s">
        <v>17</v>
      </c>
      <c r="L7">
        <v>50</v>
      </c>
      <c r="M7" t="str">
        <f t="shared" si="0"/>
        <v>Middle Age</v>
      </c>
      <c r="N7" t="s">
        <v>18</v>
      </c>
    </row>
    <row r="8" spans="1:14" x14ac:dyDescent="0.3">
      <c r="A8">
        <v>27974</v>
      </c>
      <c r="B8" t="s">
        <v>33</v>
      </c>
      <c r="C8" t="s">
        <v>35</v>
      </c>
      <c r="D8" s="2">
        <v>160000</v>
      </c>
      <c r="E8">
        <v>2</v>
      </c>
      <c r="F8" t="s">
        <v>27</v>
      </c>
      <c r="G8" t="s">
        <v>28</v>
      </c>
      <c r="H8" t="s">
        <v>15</v>
      </c>
      <c r="I8">
        <v>4</v>
      </c>
      <c r="J8" t="s">
        <v>16</v>
      </c>
      <c r="K8" t="s">
        <v>24</v>
      </c>
      <c r="L8">
        <v>33</v>
      </c>
      <c r="M8" t="str">
        <f t="shared" si="0"/>
        <v>Middle Age</v>
      </c>
      <c r="N8" t="s">
        <v>15</v>
      </c>
    </row>
    <row r="9" spans="1:14" x14ac:dyDescent="0.3">
      <c r="A9">
        <v>19364</v>
      </c>
      <c r="B9" t="s">
        <v>32</v>
      </c>
      <c r="C9" t="s">
        <v>35</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Middle Age</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Middle Age</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2">
        <v>80000</v>
      </c>
      <c r="E57">
        <v>4</v>
      </c>
      <c r="F57" t="s">
        <v>27</v>
      </c>
      <c r="G57" t="s">
        <v>21</v>
      </c>
      <c r="H57" t="s">
        <v>15</v>
      </c>
      <c r="I57">
        <v>2</v>
      </c>
      <c r="J57" t="s">
        <v>42</v>
      </c>
      <c r="K57" t="s">
        <v>17</v>
      </c>
      <c r="L57">
        <v>54</v>
      </c>
      <c r="M57" t="str">
        <f t="shared" si="0"/>
        <v>Middle Age</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Middle Age</v>
      </c>
      <c r="N96" t="s">
        <v>18</v>
      </c>
    </row>
    <row r="97" spans="1:14" x14ac:dyDescent="0.3">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Middle Age</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2">
        <v>160000</v>
      </c>
      <c r="E180">
        <v>4</v>
      </c>
      <c r="F180" t="s">
        <v>19</v>
      </c>
      <c r="G180" t="s">
        <v>21</v>
      </c>
      <c r="H180" t="s">
        <v>18</v>
      </c>
      <c r="I180">
        <v>2</v>
      </c>
      <c r="J180" t="s">
        <v>42</v>
      </c>
      <c r="K180" t="s">
        <v>17</v>
      </c>
      <c r="L180">
        <v>55</v>
      </c>
      <c r="M180" t="str">
        <f t="shared" si="2"/>
        <v>Middle Age</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Middle Age</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Middle Age</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ref="M195:M258" si="3">IF(L195&gt;55,"Old",IF(L195&gt;=31,"Middle Age",IF(L195&lt;31,"Adolescent","Invalid")))</f>
        <v>Middle Age</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Middle Age</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2">
        <v>130000</v>
      </c>
      <c r="E320">
        <v>4</v>
      </c>
      <c r="F320" t="s">
        <v>19</v>
      </c>
      <c r="G320" t="s">
        <v>21</v>
      </c>
      <c r="H320" t="s">
        <v>18</v>
      </c>
      <c r="I320">
        <v>3</v>
      </c>
      <c r="J320" t="s">
        <v>42</v>
      </c>
      <c r="K320" t="s">
        <v>17</v>
      </c>
      <c r="L320">
        <v>54</v>
      </c>
      <c r="M320" t="str">
        <f t="shared" si="4"/>
        <v>Middle Age</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2">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2">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2">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34</v>
      </c>
      <c r="D402" s="2">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Middle Age</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34</v>
      </c>
      <c r="D515" s="2">
        <v>60000</v>
      </c>
      <c r="E515">
        <v>4</v>
      </c>
      <c r="F515" t="s">
        <v>30</v>
      </c>
      <c r="G515" t="s">
        <v>28</v>
      </c>
      <c r="H515" t="s">
        <v>15</v>
      </c>
      <c r="I515">
        <v>2</v>
      </c>
      <c r="J515" t="s">
        <v>42</v>
      </c>
      <c r="K515" t="s">
        <v>31</v>
      </c>
      <c r="L515">
        <v>61</v>
      </c>
      <c r="M515" t="str">
        <f t="shared" ref="M515:M578" si="8">IF(L515&gt;55,"Old",IF(L515&gt;=31,"Middle Age",IF(L515&lt;31,"Adolescent","Invalid")))</f>
        <v>Old</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Middle Age</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35</v>
      </c>
      <c r="D554" s="2">
        <v>60000</v>
      </c>
      <c r="E554">
        <v>3</v>
      </c>
      <c r="F554" t="s">
        <v>27</v>
      </c>
      <c r="G554" t="s">
        <v>21</v>
      </c>
      <c r="H554" t="s">
        <v>15</v>
      </c>
      <c r="I554">
        <v>2</v>
      </c>
      <c r="J554" t="s">
        <v>42</v>
      </c>
      <c r="K554" t="s">
        <v>31</v>
      </c>
      <c r="L554">
        <v>54</v>
      </c>
      <c r="M554" t="str">
        <f t="shared" si="8"/>
        <v>Middle Age</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Middle Age</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IF(L579&gt;55,"Old",IF(L579&gt;=31,"Middle Age",IF(L579&lt;31,"Adolescent","Invalid")))</f>
        <v>Middle Age</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Middle Age</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2">
        <v>50000</v>
      </c>
      <c r="E643">
        <v>4</v>
      </c>
      <c r="F643" t="s">
        <v>13</v>
      </c>
      <c r="G643" t="s">
        <v>28</v>
      </c>
      <c r="H643" t="s">
        <v>15</v>
      </c>
      <c r="I643">
        <v>2</v>
      </c>
      <c r="J643" t="s">
        <v>42</v>
      </c>
      <c r="K643" t="s">
        <v>31</v>
      </c>
      <c r="L643">
        <v>64</v>
      </c>
      <c r="M643" t="str">
        <f t="shared" ref="M643:M706" si="10">IF(L643&gt;55,"Old",IF(L643&gt;=31,"Middle Age",IF(L643&lt;31,"Adolescent","Invalid")))</f>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ref="M707:M770" si="11">IF(L707&gt;55,"Old",IF(L707&gt;=31,"Middle Age",IF(L707&lt;31,"Adolescent","Invalid")))</f>
        <v>Old</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1"/>
        <v>Middle Age</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IF(L771&gt;55,"Old",IF(L771&gt;=31,"Middle Age",IF(L771&lt;31,"Adolescent","Invalid")))</f>
        <v>Middle Age</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Middle Age</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2">
        <v>70000</v>
      </c>
      <c r="E777">
        <v>2</v>
      </c>
      <c r="F777" t="s">
        <v>29</v>
      </c>
      <c r="G777" t="s">
        <v>14</v>
      </c>
      <c r="H777" t="s">
        <v>15</v>
      </c>
      <c r="I777">
        <v>2</v>
      </c>
      <c r="J777" t="s">
        <v>42</v>
      </c>
      <c r="K777" t="s">
        <v>31</v>
      </c>
      <c r="L777">
        <v>54</v>
      </c>
      <c r="M777" t="str">
        <f t="shared" si="12"/>
        <v>Middle Age</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Middle Age</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IF(L835&gt;55,"Old",IF(L835&gt;=31,"Middle Age",IF(L835&lt;31,"Adolescent","Invalid")))</f>
        <v>Middle Age</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2">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2">
        <v>60000</v>
      </c>
      <c r="E868">
        <v>2</v>
      </c>
      <c r="F868" t="s">
        <v>27</v>
      </c>
      <c r="G868" t="s">
        <v>21</v>
      </c>
      <c r="H868" t="s">
        <v>15</v>
      </c>
      <c r="I868">
        <v>2</v>
      </c>
      <c r="J868" t="s">
        <v>42</v>
      </c>
      <c r="K868" t="s">
        <v>31</v>
      </c>
      <c r="L868">
        <v>55</v>
      </c>
      <c r="M868" t="str">
        <f t="shared" si="13"/>
        <v>Middle Age</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2">
        <v>60000</v>
      </c>
      <c r="E873">
        <v>2</v>
      </c>
      <c r="F873" t="s">
        <v>27</v>
      </c>
      <c r="G873" t="s">
        <v>21</v>
      </c>
      <c r="H873" t="s">
        <v>15</v>
      </c>
      <c r="I873">
        <v>2</v>
      </c>
      <c r="J873" t="s">
        <v>42</v>
      </c>
      <c r="K873" t="s">
        <v>31</v>
      </c>
      <c r="L873">
        <v>55</v>
      </c>
      <c r="M873" t="str">
        <f t="shared" si="13"/>
        <v>Middle Age</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IF(L899&gt;55,"Old",IF(L899&gt;=31,"Middle Age",IF(L899&lt;31,"Adolescent","Invalid")))</f>
        <v>Adolescent</v>
      </c>
      <c r="N899" t="s">
        <v>18</v>
      </c>
    </row>
    <row r="900" spans="1:14" x14ac:dyDescent="0.3">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2">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01" si="15">IF(L963&gt;55,"Old",IF(L963&gt;=31,"Middle Age",IF(L963&lt;31,"Adolescent","Invalid")))</f>
        <v>Old</v>
      </c>
      <c r="N963" t="s">
        <v>18</v>
      </c>
    </row>
    <row r="964" spans="1:14" x14ac:dyDescent="0.3">
      <c r="A964">
        <v>16813</v>
      </c>
      <c r="B964" t="s">
        <v>32</v>
      </c>
      <c r="C964" t="s">
        <v>35</v>
      </c>
      <c r="D964" s="2">
        <v>60000</v>
      </c>
      <c r="E964">
        <v>2</v>
      </c>
      <c r="F964" t="s">
        <v>19</v>
      </c>
      <c r="G964" t="s">
        <v>21</v>
      </c>
      <c r="H964" t="s">
        <v>15</v>
      </c>
      <c r="I964">
        <v>2</v>
      </c>
      <c r="J964" t="s">
        <v>42</v>
      </c>
      <c r="K964" t="s">
        <v>31</v>
      </c>
      <c r="L964">
        <v>55</v>
      </c>
      <c r="M964" t="str">
        <f t="shared" si="15"/>
        <v>Middle Age</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IF(L1000&gt;54,"Old",IF(L1000&gt;=31,"Middle Age",IF(L1000&lt;31,"Adolescent","Invalid")))</f>
        <v>Middle Age</v>
      </c>
      <c r="N1000" t="s">
        <v>18</v>
      </c>
    </row>
    <row r="1001" spans="1:14" x14ac:dyDescent="0.3">
      <c r="A1001">
        <v>12121</v>
      </c>
      <c r="B1001" t="s">
        <v>33</v>
      </c>
      <c r="C1001" t="s">
        <v>35</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5916-BBA5-4077-85F6-53A81D306335}">
  <dimension ref="A1:Q6"/>
  <sheetViews>
    <sheetView showGridLines="0" zoomScale="75" workbookViewId="0">
      <selection activeCell="W18" sqref="W18"/>
    </sheetView>
  </sheetViews>
  <sheetFormatPr defaultRowHeight="14.4" x14ac:dyDescent="0.3"/>
  <sheetData>
    <row r="1" spans="1:17" x14ac:dyDescent="0.3">
      <c r="A1" s="7" t="s">
        <v>46</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sheetData>
  <mergeCells count="1">
    <mergeCell ref="A1:Q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4309-315A-440C-AF31-48CDD79FFB65}">
  <dimension ref="A1:D112"/>
  <sheetViews>
    <sheetView topLeftCell="A63" workbookViewId="0">
      <selection activeCell="O55" sqref="N1:Q5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3" t="s">
        <v>39</v>
      </c>
      <c r="B1" s="3" t="s">
        <v>40</v>
      </c>
    </row>
    <row r="2" spans="1:4" x14ac:dyDescent="0.3">
      <c r="A2" s="3" t="s">
        <v>37</v>
      </c>
      <c r="B2" t="s">
        <v>18</v>
      </c>
      <c r="C2" t="s">
        <v>15</v>
      </c>
      <c r="D2" t="s">
        <v>38</v>
      </c>
    </row>
    <row r="3" spans="1:4" x14ac:dyDescent="0.3">
      <c r="A3" s="4" t="s">
        <v>34</v>
      </c>
      <c r="B3" s="5">
        <v>53440</v>
      </c>
      <c r="C3" s="5">
        <v>55774.058577405856</v>
      </c>
      <c r="D3" s="5">
        <v>54580.777096114522</v>
      </c>
    </row>
    <row r="4" spans="1:4" x14ac:dyDescent="0.3">
      <c r="A4" s="4" t="s">
        <v>35</v>
      </c>
      <c r="B4" s="5">
        <v>56208.178438661707</v>
      </c>
      <c r="C4" s="5">
        <v>60123.966942148763</v>
      </c>
      <c r="D4" s="5">
        <v>58062.62230919765</v>
      </c>
    </row>
    <row r="5" spans="1:4" x14ac:dyDescent="0.3">
      <c r="A5" s="4" t="s">
        <v>38</v>
      </c>
      <c r="B5" s="5">
        <v>54874.759152215796</v>
      </c>
      <c r="C5" s="5">
        <v>57962.577962577961</v>
      </c>
      <c r="D5" s="5">
        <v>56360</v>
      </c>
    </row>
    <row r="26" spans="1:4" x14ac:dyDescent="0.3">
      <c r="A26" s="3" t="s">
        <v>41</v>
      </c>
      <c r="B26" s="3" t="s">
        <v>40</v>
      </c>
    </row>
    <row r="27" spans="1:4" x14ac:dyDescent="0.3">
      <c r="A27" s="3" t="s">
        <v>37</v>
      </c>
      <c r="B27" t="s">
        <v>18</v>
      </c>
      <c r="C27" t="s">
        <v>15</v>
      </c>
      <c r="D27" t="s">
        <v>38</v>
      </c>
    </row>
    <row r="28" spans="1:4" x14ac:dyDescent="0.3">
      <c r="A28" s="4" t="s">
        <v>16</v>
      </c>
      <c r="B28" s="6">
        <v>166</v>
      </c>
      <c r="C28" s="6">
        <v>200</v>
      </c>
      <c r="D28" s="6">
        <v>366</v>
      </c>
    </row>
    <row r="29" spans="1:4" x14ac:dyDescent="0.3">
      <c r="A29" s="4" t="s">
        <v>26</v>
      </c>
      <c r="B29" s="6">
        <v>92</v>
      </c>
      <c r="C29" s="6">
        <v>77</v>
      </c>
      <c r="D29" s="6">
        <v>169</v>
      </c>
    </row>
    <row r="30" spans="1:4" x14ac:dyDescent="0.3">
      <c r="A30" s="4" t="s">
        <v>22</v>
      </c>
      <c r="B30" s="6">
        <v>67</v>
      </c>
      <c r="C30" s="6">
        <v>95</v>
      </c>
      <c r="D30" s="6">
        <v>162</v>
      </c>
    </row>
    <row r="31" spans="1:4" x14ac:dyDescent="0.3">
      <c r="A31" s="4" t="s">
        <v>23</v>
      </c>
      <c r="B31" s="6">
        <v>116</v>
      </c>
      <c r="C31" s="6">
        <v>76</v>
      </c>
      <c r="D31" s="6">
        <v>192</v>
      </c>
    </row>
    <row r="32" spans="1:4" x14ac:dyDescent="0.3">
      <c r="A32" s="4" t="s">
        <v>42</v>
      </c>
      <c r="B32" s="6">
        <v>78</v>
      </c>
      <c r="C32" s="6">
        <v>33</v>
      </c>
      <c r="D32" s="6">
        <v>111</v>
      </c>
    </row>
    <row r="33" spans="1:4" x14ac:dyDescent="0.3">
      <c r="A33" s="4" t="s">
        <v>38</v>
      </c>
      <c r="B33" s="6">
        <v>519</v>
      </c>
      <c r="C33" s="6">
        <v>481</v>
      </c>
      <c r="D33" s="6">
        <v>1000</v>
      </c>
    </row>
    <row r="39" spans="1:4" x14ac:dyDescent="0.3">
      <c r="A39" s="3" t="s">
        <v>41</v>
      </c>
      <c r="B39" s="3" t="s">
        <v>40</v>
      </c>
    </row>
    <row r="40" spans="1:4" x14ac:dyDescent="0.3">
      <c r="A40" s="3" t="s">
        <v>37</v>
      </c>
      <c r="B40" t="s">
        <v>18</v>
      </c>
      <c r="C40" t="s">
        <v>15</v>
      </c>
      <c r="D40" t="s">
        <v>38</v>
      </c>
    </row>
    <row r="41" spans="1:4" x14ac:dyDescent="0.3">
      <c r="A41" s="4" t="s">
        <v>43</v>
      </c>
      <c r="B41" s="6">
        <v>71</v>
      </c>
      <c r="C41" s="6">
        <v>39</v>
      </c>
      <c r="D41" s="6">
        <v>110</v>
      </c>
    </row>
    <row r="42" spans="1:4" x14ac:dyDescent="0.3">
      <c r="A42" s="4" t="s">
        <v>44</v>
      </c>
      <c r="B42" s="6">
        <v>331</v>
      </c>
      <c r="C42" s="6">
        <v>388</v>
      </c>
      <c r="D42" s="6">
        <v>719</v>
      </c>
    </row>
    <row r="43" spans="1:4" x14ac:dyDescent="0.3">
      <c r="A43" s="4" t="s">
        <v>45</v>
      </c>
      <c r="B43" s="6">
        <v>117</v>
      </c>
      <c r="C43" s="6">
        <v>54</v>
      </c>
      <c r="D43" s="6">
        <v>171</v>
      </c>
    </row>
    <row r="44" spans="1:4" x14ac:dyDescent="0.3">
      <c r="A44" s="4" t="s">
        <v>38</v>
      </c>
      <c r="B44" s="6">
        <v>519</v>
      </c>
      <c r="C44" s="6">
        <v>481</v>
      </c>
      <c r="D44" s="6">
        <v>1000</v>
      </c>
    </row>
    <row r="57" spans="1:4" x14ac:dyDescent="0.3">
      <c r="A57" s="3" t="s">
        <v>41</v>
      </c>
      <c r="B57" s="3" t="s">
        <v>40</v>
      </c>
    </row>
    <row r="58" spans="1:4" x14ac:dyDescent="0.3">
      <c r="A58" s="3" t="s">
        <v>37</v>
      </c>
      <c r="B58" t="s">
        <v>18</v>
      </c>
      <c r="C58" t="s">
        <v>15</v>
      </c>
      <c r="D58" t="s">
        <v>38</v>
      </c>
    </row>
    <row r="59" spans="1:4" x14ac:dyDescent="0.3">
      <c r="A59" s="4">
        <v>25</v>
      </c>
      <c r="B59" s="6">
        <v>2</v>
      </c>
      <c r="C59" s="6">
        <v>4</v>
      </c>
      <c r="D59" s="6">
        <v>6</v>
      </c>
    </row>
    <row r="60" spans="1:4" x14ac:dyDescent="0.3">
      <c r="A60" s="4">
        <v>26</v>
      </c>
      <c r="B60" s="6">
        <v>8</v>
      </c>
      <c r="C60" s="6">
        <v>8</v>
      </c>
      <c r="D60" s="6">
        <v>16</v>
      </c>
    </row>
    <row r="61" spans="1:4" x14ac:dyDescent="0.3">
      <c r="A61" s="4">
        <v>27</v>
      </c>
      <c r="B61" s="6">
        <v>15</v>
      </c>
      <c r="C61" s="6">
        <v>8</v>
      </c>
      <c r="D61" s="6">
        <v>23</v>
      </c>
    </row>
    <row r="62" spans="1:4" x14ac:dyDescent="0.3">
      <c r="A62" s="4">
        <v>28</v>
      </c>
      <c r="B62" s="6">
        <v>12</v>
      </c>
      <c r="C62" s="6">
        <v>10</v>
      </c>
      <c r="D62" s="6">
        <v>22</v>
      </c>
    </row>
    <row r="63" spans="1:4" x14ac:dyDescent="0.3">
      <c r="A63" s="4">
        <v>29</v>
      </c>
      <c r="B63" s="6">
        <v>11</v>
      </c>
      <c r="C63" s="6">
        <v>5</v>
      </c>
      <c r="D63" s="6">
        <v>16</v>
      </c>
    </row>
    <row r="64" spans="1:4" x14ac:dyDescent="0.3">
      <c r="A64" s="4">
        <v>30</v>
      </c>
      <c r="B64" s="6">
        <v>23</v>
      </c>
      <c r="C64" s="6">
        <v>4</v>
      </c>
      <c r="D64" s="6">
        <v>27</v>
      </c>
    </row>
    <row r="65" spans="1:4" x14ac:dyDescent="0.3">
      <c r="A65" s="4">
        <v>31</v>
      </c>
      <c r="B65" s="6">
        <v>17</v>
      </c>
      <c r="C65" s="6">
        <v>8</v>
      </c>
      <c r="D65" s="6">
        <v>25</v>
      </c>
    </row>
    <row r="66" spans="1:4" x14ac:dyDescent="0.3">
      <c r="A66" s="4">
        <v>32</v>
      </c>
      <c r="B66" s="6">
        <v>19</v>
      </c>
      <c r="C66" s="6">
        <v>14</v>
      </c>
      <c r="D66" s="6">
        <v>33</v>
      </c>
    </row>
    <row r="67" spans="1:4" x14ac:dyDescent="0.3">
      <c r="A67" s="4">
        <v>33</v>
      </c>
      <c r="B67" s="6">
        <v>8</v>
      </c>
      <c r="C67" s="6">
        <v>13</v>
      </c>
      <c r="D67" s="6">
        <v>21</v>
      </c>
    </row>
    <row r="68" spans="1:4" x14ac:dyDescent="0.3">
      <c r="A68" s="4">
        <v>34</v>
      </c>
      <c r="B68" s="6">
        <v>12</v>
      </c>
      <c r="C68" s="6">
        <v>19</v>
      </c>
      <c r="D68" s="6">
        <v>31</v>
      </c>
    </row>
    <row r="69" spans="1:4" x14ac:dyDescent="0.3">
      <c r="A69" s="4">
        <v>35</v>
      </c>
      <c r="B69" s="6">
        <v>14</v>
      </c>
      <c r="C69" s="6">
        <v>22</v>
      </c>
      <c r="D69" s="6">
        <v>36</v>
      </c>
    </row>
    <row r="70" spans="1:4" x14ac:dyDescent="0.3">
      <c r="A70" s="4">
        <v>36</v>
      </c>
      <c r="B70" s="6">
        <v>7</v>
      </c>
      <c r="C70" s="6">
        <v>30</v>
      </c>
      <c r="D70" s="6">
        <v>37</v>
      </c>
    </row>
    <row r="71" spans="1:4" x14ac:dyDescent="0.3">
      <c r="A71" s="4">
        <v>37</v>
      </c>
      <c r="B71" s="6">
        <v>4</v>
      </c>
      <c r="C71" s="6">
        <v>28</v>
      </c>
      <c r="D71" s="6">
        <v>32</v>
      </c>
    </row>
    <row r="72" spans="1:4" x14ac:dyDescent="0.3">
      <c r="A72" s="4">
        <v>38</v>
      </c>
      <c r="B72" s="6">
        <v>8</v>
      </c>
      <c r="C72" s="6">
        <v>29</v>
      </c>
      <c r="D72" s="6">
        <v>37</v>
      </c>
    </row>
    <row r="73" spans="1:4" x14ac:dyDescent="0.3">
      <c r="A73" s="4">
        <v>39</v>
      </c>
      <c r="B73" s="6">
        <v>10</v>
      </c>
      <c r="C73" s="6">
        <v>12</v>
      </c>
      <c r="D73" s="6">
        <v>22</v>
      </c>
    </row>
    <row r="74" spans="1:4" x14ac:dyDescent="0.3">
      <c r="A74" s="4">
        <v>40</v>
      </c>
      <c r="B74" s="6">
        <v>24</v>
      </c>
      <c r="C74" s="6">
        <v>18</v>
      </c>
      <c r="D74" s="6">
        <v>42</v>
      </c>
    </row>
    <row r="75" spans="1:4" x14ac:dyDescent="0.3">
      <c r="A75" s="4">
        <v>41</v>
      </c>
      <c r="B75" s="6">
        <v>13</v>
      </c>
      <c r="C75" s="6">
        <v>15</v>
      </c>
      <c r="D75" s="6">
        <v>28</v>
      </c>
    </row>
    <row r="76" spans="1:4" x14ac:dyDescent="0.3">
      <c r="A76" s="4">
        <v>42</v>
      </c>
      <c r="B76" s="6">
        <v>22</v>
      </c>
      <c r="C76" s="6">
        <v>12</v>
      </c>
      <c r="D76" s="6">
        <v>34</v>
      </c>
    </row>
    <row r="77" spans="1:4" x14ac:dyDescent="0.3">
      <c r="A77" s="4">
        <v>43</v>
      </c>
      <c r="B77" s="6">
        <v>17</v>
      </c>
      <c r="C77" s="6">
        <v>19</v>
      </c>
      <c r="D77" s="6">
        <v>36</v>
      </c>
    </row>
    <row r="78" spans="1:4" x14ac:dyDescent="0.3">
      <c r="A78" s="4">
        <v>44</v>
      </c>
      <c r="B78" s="6">
        <v>15</v>
      </c>
      <c r="C78" s="6">
        <v>12</v>
      </c>
      <c r="D78" s="6">
        <v>27</v>
      </c>
    </row>
    <row r="79" spans="1:4" x14ac:dyDescent="0.3">
      <c r="A79" s="4">
        <v>45</v>
      </c>
      <c r="B79" s="6">
        <v>18</v>
      </c>
      <c r="C79" s="6">
        <v>13</v>
      </c>
      <c r="D79" s="6">
        <v>31</v>
      </c>
    </row>
    <row r="80" spans="1:4" x14ac:dyDescent="0.3">
      <c r="A80" s="4">
        <v>46</v>
      </c>
      <c r="B80" s="6">
        <v>12</v>
      </c>
      <c r="C80" s="6">
        <v>15</v>
      </c>
      <c r="D80" s="6">
        <v>27</v>
      </c>
    </row>
    <row r="81" spans="1:4" x14ac:dyDescent="0.3">
      <c r="A81" s="4">
        <v>47</v>
      </c>
      <c r="B81" s="6">
        <v>19</v>
      </c>
      <c r="C81" s="6">
        <v>20</v>
      </c>
      <c r="D81" s="6">
        <v>39</v>
      </c>
    </row>
    <row r="82" spans="1:4" x14ac:dyDescent="0.3">
      <c r="A82" s="4">
        <v>48</v>
      </c>
      <c r="B82" s="6">
        <v>16</v>
      </c>
      <c r="C82" s="6">
        <v>13</v>
      </c>
      <c r="D82" s="6">
        <v>29</v>
      </c>
    </row>
    <row r="83" spans="1:4" x14ac:dyDescent="0.3">
      <c r="A83" s="4">
        <v>49</v>
      </c>
      <c r="B83" s="6">
        <v>15</v>
      </c>
      <c r="C83" s="6">
        <v>8</v>
      </c>
      <c r="D83" s="6">
        <v>23</v>
      </c>
    </row>
    <row r="84" spans="1:4" x14ac:dyDescent="0.3">
      <c r="A84" s="4">
        <v>50</v>
      </c>
      <c r="B84" s="6">
        <v>12</v>
      </c>
      <c r="C84" s="6">
        <v>12</v>
      </c>
      <c r="D84" s="6">
        <v>24</v>
      </c>
    </row>
    <row r="85" spans="1:4" x14ac:dyDescent="0.3">
      <c r="A85" s="4">
        <v>51</v>
      </c>
      <c r="B85" s="6">
        <v>10</v>
      </c>
      <c r="C85" s="6">
        <v>12</v>
      </c>
      <c r="D85" s="6">
        <v>22</v>
      </c>
    </row>
    <row r="86" spans="1:4" x14ac:dyDescent="0.3">
      <c r="A86" s="4">
        <v>52</v>
      </c>
      <c r="B86" s="6">
        <v>10</v>
      </c>
      <c r="C86" s="6">
        <v>15</v>
      </c>
      <c r="D86" s="6">
        <v>25</v>
      </c>
    </row>
    <row r="87" spans="1:4" x14ac:dyDescent="0.3">
      <c r="A87" s="4">
        <v>53</v>
      </c>
      <c r="B87" s="6">
        <v>11</v>
      </c>
      <c r="C87" s="6">
        <v>13</v>
      </c>
      <c r="D87" s="6">
        <v>24</v>
      </c>
    </row>
    <row r="88" spans="1:4" x14ac:dyDescent="0.3">
      <c r="A88" s="4">
        <v>54</v>
      </c>
      <c r="B88" s="6">
        <v>5</v>
      </c>
      <c r="C88" s="6">
        <v>11</v>
      </c>
      <c r="D88" s="6">
        <v>16</v>
      </c>
    </row>
    <row r="89" spans="1:4" x14ac:dyDescent="0.3">
      <c r="A89" s="4">
        <v>55</v>
      </c>
      <c r="B89" s="6">
        <v>13</v>
      </c>
      <c r="C89" s="6">
        <v>5</v>
      </c>
      <c r="D89" s="6">
        <v>18</v>
      </c>
    </row>
    <row r="90" spans="1:4" x14ac:dyDescent="0.3">
      <c r="A90" s="4">
        <v>56</v>
      </c>
      <c r="B90" s="6">
        <v>13</v>
      </c>
      <c r="C90" s="6">
        <v>3</v>
      </c>
      <c r="D90" s="6">
        <v>16</v>
      </c>
    </row>
    <row r="91" spans="1:4" x14ac:dyDescent="0.3">
      <c r="A91" s="4">
        <v>57</v>
      </c>
      <c r="B91" s="6">
        <v>4</v>
      </c>
      <c r="C91" s="6">
        <v>4</v>
      </c>
      <c r="D91" s="6">
        <v>8</v>
      </c>
    </row>
    <row r="92" spans="1:4" x14ac:dyDescent="0.3">
      <c r="A92" s="4">
        <v>58</v>
      </c>
      <c r="B92" s="6">
        <v>8</v>
      </c>
      <c r="C92" s="6">
        <v>4</v>
      </c>
      <c r="D92" s="6">
        <v>12</v>
      </c>
    </row>
    <row r="93" spans="1:4" x14ac:dyDescent="0.3">
      <c r="A93" s="4">
        <v>59</v>
      </c>
      <c r="B93" s="6">
        <v>14</v>
      </c>
      <c r="C93" s="6">
        <v>6</v>
      </c>
      <c r="D93" s="6">
        <v>20</v>
      </c>
    </row>
    <row r="94" spans="1:4" x14ac:dyDescent="0.3">
      <c r="A94" s="4">
        <v>60</v>
      </c>
      <c r="B94" s="6">
        <v>8</v>
      </c>
      <c r="C94" s="6">
        <v>7</v>
      </c>
      <c r="D94" s="6">
        <v>15</v>
      </c>
    </row>
    <row r="95" spans="1:4" x14ac:dyDescent="0.3">
      <c r="A95" s="4">
        <v>61</v>
      </c>
      <c r="B95" s="6">
        <v>5</v>
      </c>
      <c r="C95" s="6">
        <v>4</v>
      </c>
      <c r="D95" s="6">
        <v>9</v>
      </c>
    </row>
    <row r="96" spans="1:4" x14ac:dyDescent="0.3">
      <c r="A96" s="4">
        <v>62</v>
      </c>
      <c r="B96" s="6">
        <v>9</v>
      </c>
      <c r="C96" s="6">
        <v>4</v>
      </c>
      <c r="D96" s="6">
        <v>13</v>
      </c>
    </row>
    <row r="97" spans="1:4" x14ac:dyDescent="0.3">
      <c r="A97" s="4">
        <v>63</v>
      </c>
      <c r="B97" s="6">
        <v>7</v>
      </c>
      <c r="C97" s="6">
        <v>2</v>
      </c>
      <c r="D97" s="6">
        <v>9</v>
      </c>
    </row>
    <row r="98" spans="1:4" x14ac:dyDescent="0.3">
      <c r="A98" s="4">
        <v>64</v>
      </c>
      <c r="B98" s="6">
        <v>7</v>
      </c>
      <c r="C98" s="6">
        <v>3</v>
      </c>
      <c r="D98" s="6">
        <v>10</v>
      </c>
    </row>
    <row r="99" spans="1:4" x14ac:dyDescent="0.3">
      <c r="A99" s="4">
        <v>65</v>
      </c>
      <c r="B99" s="6">
        <v>6</v>
      </c>
      <c r="C99" s="6">
        <v>3</v>
      </c>
      <c r="D99" s="6">
        <v>9</v>
      </c>
    </row>
    <row r="100" spans="1:4" x14ac:dyDescent="0.3">
      <c r="A100" s="4">
        <v>66</v>
      </c>
      <c r="B100" s="6">
        <v>8</v>
      </c>
      <c r="C100" s="6">
        <v>6</v>
      </c>
      <c r="D100" s="6">
        <v>14</v>
      </c>
    </row>
    <row r="101" spans="1:4" x14ac:dyDescent="0.3">
      <c r="A101" s="4">
        <v>67</v>
      </c>
      <c r="B101" s="6">
        <v>8</v>
      </c>
      <c r="C101" s="6">
        <v>2</v>
      </c>
      <c r="D101" s="6">
        <v>10</v>
      </c>
    </row>
    <row r="102" spans="1:4" x14ac:dyDescent="0.3">
      <c r="A102" s="4">
        <v>68</v>
      </c>
      <c r="B102" s="6">
        <v>3</v>
      </c>
      <c r="C102" s="6"/>
      <c r="D102" s="6">
        <v>3</v>
      </c>
    </row>
    <row r="103" spans="1:4" x14ac:dyDescent="0.3">
      <c r="A103" s="4">
        <v>69</v>
      </c>
      <c r="B103" s="6">
        <v>8</v>
      </c>
      <c r="C103" s="6"/>
      <c r="D103" s="6">
        <v>8</v>
      </c>
    </row>
    <row r="104" spans="1:4" x14ac:dyDescent="0.3">
      <c r="A104" s="4">
        <v>70</v>
      </c>
      <c r="B104" s="6">
        <v>3</v>
      </c>
      <c r="C104" s="6">
        <v>1</v>
      </c>
      <c r="D104" s="6">
        <v>4</v>
      </c>
    </row>
    <row r="105" spans="1:4" x14ac:dyDescent="0.3">
      <c r="A105" s="4">
        <v>71</v>
      </c>
      <c r="B105" s="6">
        <v>1</v>
      </c>
      <c r="C105" s="6"/>
      <c r="D105" s="6">
        <v>1</v>
      </c>
    </row>
    <row r="106" spans="1:4" x14ac:dyDescent="0.3">
      <c r="A106" s="4">
        <v>72</v>
      </c>
      <c r="B106" s="6"/>
      <c r="C106" s="6">
        <v>1</v>
      </c>
      <c r="D106" s="6">
        <v>1</v>
      </c>
    </row>
    <row r="107" spans="1:4" x14ac:dyDescent="0.3">
      <c r="A107" s="4">
        <v>73</v>
      </c>
      <c r="B107" s="6">
        <v>2</v>
      </c>
      <c r="C107" s="6">
        <v>2</v>
      </c>
      <c r="D107" s="6">
        <v>4</v>
      </c>
    </row>
    <row r="108" spans="1:4" x14ac:dyDescent="0.3">
      <c r="A108" s="4">
        <v>74</v>
      </c>
      <c r="B108" s="6"/>
      <c r="C108" s="6">
        <v>1</v>
      </c>
      <c r="D108" s="6">
        <v>1</v>
      </c>
    </row>
    <row r="109" spans="1:4" x14ac:dyDescent="0.3">
      <c r="A109" s="4">
        <v>78</v>
      </c>
      <c r="B109" s="6">
        <v>1</v>
      </c>
      <c r="C109" s="6">
        <v>1</v>
      </c>
      <c r="D109" s="6">
        <v>2</v>
      </c>
    </row>
    <row r="110" spans="1:4" x14ac:dyDescent="0.3">
      <c r="A110" s="4">
        <v>80</v>
      </c>
      <c r="B110" s="6">
        <v>1</v>
      </c>
      <c r="C110" s="6"/>
      <c r="D110" s="6">
        <v>1</v>
      </c>
    </row>
    <row r="111" spans="1:4" x14ac:dyDescent="0.3">
      <c r="A111" s="4">
        <v>89</v>
      </c>
      <c r="B111" s="6">
        <v>1</v>
      </c>
      <c r="C111" s="6"/>
      <c r="D111" s="6">
        <v>1</v>
      </c>
    </row>
    <row r="112" spans="1:4" x14ac:dyDescent="0.3">
      <c r="A112" s="4" t="s">
        <v>38</v>
      </c>
      <c r="B112" s="6">
        <v>519</v>
      </c>
      <c r="C112" s="6">
        <v>481</v>
      </c>
      <c r="D112" s="6">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Athmi Shetty</cp:lastModifiedBy>
  <dcterms:created xsi:type="dcterms:W3CDTF">2022-03-18T02:50:57Z</dcterms:created>
  <dcterms:modified xsi:type="dcterms:W3CDTF">2026-09-21T15:41:25Z</dcterms:modified>
</cp:coreProperties>
</file>